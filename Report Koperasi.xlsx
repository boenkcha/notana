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 Python\Rekapan Nota\"/>
    </mc:Choice>
  </mc:AlternateContent>
  <xr:revisionPtr revIDLastSave="0" documentId="13_ncr:1_{3F703802-8D7D-4CA2-9511-F3962CBDD1B9}" xr6:coauthVersionLast="47" xr6:coauthVersionMax="47" xr10:uidLastSave="{00000000-0000-0000-0000-000000000000}"/>
  <bookViews>
    <workbookView xWindow="-120" yWindow="-120" windowWidth="20730" windowHeight="11160" xr2:uid="{AE4A1B0A-5FE8-4D47-A8E2-E68ECF8BD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9" i="1"/>
  <c r="G30" i="1" l="1"/>
  <c r="G31" i="1" s="1"/>
  <c r="G32" i="1" s="1"/>
</calcChain>
</file>

<file path=xl/sharedStrings.xml><?xml version="1.0" encoding="utf-8"?>
<sst xmlns="http://schemas.openxmlformats.org/spreadsheetml/2006/main" count="52" uniqueCount="37">
  <si>
    <t>#</t>
  </si>
  <si>
    <t>Item</t>
  </si>
  <si>
    <t>Unit</t>
  </si>
  <si>
    <t>Kuantitas</t>
  </si>
  <si>
    <t>Biaya satuan</t>
  </si>
  <si>
    <t>Total</t>
  </si>
  <si>
    <t>Tagih Kepada Darpur BGN wayhui</t>
  </si>
  <si>
    <t>Subtotal</t>
  </si>
  <si>
    <t>Saldo Terutang</t>
  </si>
  <si>
    <t>Koperasi Konsumen Marsuki Ragil Mandiri</t>
  </si>
  <si>
    <t>Beras Premium</t>
  </si>
  <si>
    <t>Kg</t>
  </si>
  <si>
    <t>Bawang Putih Kupas</t>
  </si>
  <si>
    <t>Jamur Kuping</t>
  </si>
  <si>
    <t>Ajinomoto 1000Gr</t>
  </si>
  <si>
    <t>Garam Dolphin 1000Gr</t>
  </si>
  <si>
    <t>Gula Pasir 1000Gr</t>
  </si>
  <si>
    <t>Knorr Ayam 1000Gr</t>
  </si>
  <si>
    <t>Telur Ayam</t>
  </si>
  <si>
    <t>Roma Sari Gandum 39Gr</t>
  </si>
  <si>
    <t>Pcs</t>
  </si>
  <si>
    <t>Susu Frisian Flag Nutribrain 115ML</t>
  </si>
  <si>
    <t>Anggur</t>
  </si>
  <si>
    <t>Krat</t>
  </si>
  <si>
    <t>Minyak Sania 18Ltr</t>
  </si>
  <si>
    <t>Ltr</t>
  </si>
  <si>
    <t>Margarin Palmia 200G</t>
  </si>
  <si>
    <t>Bks</t>
  </si>
  <si>
    <t>Tepung Maizena 1000Gr</t>
  </si>
  <si>
    <t>Cabe Merah</t>
  </si>
  <si>
    <t>Tomat</t>
  </si>
  <si>
    <t>Brokoli</t>
  </si>
  <si>
    <t>Wortel</t>
  </si>
  <si>
    <t>Sawi Putih</t>
  </si>
  <si>
    <t>Minyak Wijen 620ML</t>
  </si>
  <si>
    <t>Btl</t>
  </si>
  <si>
    <t>10/11/2025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</si>
</sst>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64" fontId="3" fillId="0" borderId="3" xfId="0" applyNumberFormat="1" applyFont="1" applyBorder="1" applyAlignment="1">
      <alignment vertic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600074</xdr:colOff>
      <xdr:row>0</xdr:row>
      <xdr:rowOff>76199</xdr:rowOff>
    </xdr:from>
    <xdr:ext cx="3543301" cy="5619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74A86C-08B8-4A9F-B736-116AFFB54C4C}"/>
            </a:ext>
          </a:extLst>
        </xdr:cNvPr>
        <xdr:cNvSpPr txBox="1"/>
      </xdr:nvSpPr>
      <xdr:spPr>
        <a:xfrm>
          <a:off x="1076324" y="76199"/>
          <a:ext cx="3543301" cy="561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400" b="1">
              <a:latin typeface="+mn-lt"/>
            </a:rPr>
            <a:t>KOPERASI KONSUMEN</a:t>
          </a:r>
        </a:p>
        <a:p>
          <a:r>
            <a:rPr lang="en-ID" sz="1400" b="1">
              <a:latin typeface="+mn-lt"/>
            </a:rPr>
            <a:t>MARSUKI</a:t>
          </a:r>
          <a:r>
            <a:rPr lang="en-ID" sz="1400" b="1" baseline="0">
              <a:latin typeface="+mn-lt"/>
            </a:rPr>
            <a:t> RAGIL MANDIRI</a:t>
          </a:r>
        </a:p>
        <a:p>
          <a:endParaRPr lang="en-ID" sz="1400" b="1">
            <a:latin typeface="+mn-lt"/>
          </a:endParaRPr>
        </a:p>
      </xdr:txBody>
    </xdr:sp>
    <xdr:clientData/>
  </xdr:oneCellAnchor>
  <xdr:oneCellAnchor>
    <xdr:from>
      <xdr:col>2</xdr:col>
      <xdr:colOff>609600</xdr:colOff>
      <xdr:row>3</xdr:row>
      <xdr:rowOff>9524</xdr:rowOff>
    </xdr:from>
    <xdr:ext cx="3067050" cy="10382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39381A-1EF7-444A-A225-1C15427DB46A}"/>
            </a:ext>
          </a:extLst>
        </xdr:cNvPr>
        <xdr:cNvSpPr txBox="1"/>
      </xdr:nvSpPr>
      <xdr:spPr>
        <a:xfrm>
          <a:off x="1085850" y="581024"/>
          <a:ext cx="3067050" cy="1038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050" b="0" baseline="0"/>
            <a:t>Jl Ryacudu gg surya alam no 09 Korpri Raya, </a:t>
          </a:r>
        </a:p>
        <a:p>
          <a:r>
            <a:rPr lang="en-ID" sz="1050" b="0" baseline="0"/>
            <a:t>kec.sukarame kota Bandar Lampung</a:t>
          </a:r>
        </a:p>
        <a:p>
          <a:r>
            <a:rPr lang="en-ID" sz="1050" b="0" baseline="0"/>
            <a:t>081262014034</a:t>
          </a:r>
        </a:p>
        <a:p>
          <a:endParaRPr lang="en-ID" sz="1050" b="1"/>
        </a:p>
      </xdr:txBody>
    </xdr:sp>
    <xdr:clientData/>
  </xdr:oneCellAnchor>
  <xdr:twoCellAnchor editAs="oneCell">
    <xdr:from>
      <xdr:col>0</xdr:col>
      <xdr:colOff>30533</xdr:colOff>
      <xdr:row>0</xdr:row>
      <xdr:rowOff>171450</xdr:rowOff>
    </xdr:from>
    <xdr:to>
      <xdr:col>2</xdr:col>
      <xdr:colOff>676561</xdr:colOff>
      <xdr:row>4</xdr:row>
      <xdr:rowOff>381000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E11AA3-4FDF-4B18-AD2F-A0FE9479E5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035" b="16264"/>
        <a:stretch/>
      </xdr:blipFill>
      <xdr:spPr>
        <a:xfrm>
          <a:off x="30533" y="171450"/>
          <a:ext cx="1122278" cy="971550"/>
        </a:xfrm>
        <a:prstGeom prst="rect">
          <a:avLst/>
        </a:prstGeom>
      </xdr:spPr>
    </xdr:pic>
    <xdr:clientData/>
  </xdr:twoCellAnchor>
  <xdr:oneCellAnchor>
    <xdr:from>
      <xdr:col>1</xdr:col>
      <xdr:colOff>91806</xdr:colOff>
      <xdr:row>29</xdr:row>
      <xdr:rowOff>137710</xdr:rowOff>
    </xdr:from>
    <xdr:ext cx="3067050" cy="15951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D66B905-4D79-47B1-98CB-5F83C57903C8}"/>
            </a:ext>
          </a:extLst>
        </xdr:cNvPr>
        <xdr:cNvSpPr txBox="1"/>
      </xdr:nvSpPr>
      <xdr:spPr>
        <a:xfrm>
          <a:off x="229517" y="5416626"/>
          <a:ext cx="3067050" cy="1595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100" b="1" baseline="0"/>
            <a:t>Info Pembayaran</a:t>
          </a:r>
        </a:p>
        <a:p>
          <a:endParaRPr lang="en-ID" sz="1100" b="0" baseline="0"/>
        </a:p>
        <a:p>
          <a:r>
            <a:rPr lang="en-ID" sz="1100" b="0" baseline="0"/>
            <a:t>BRI 579601000052568</a:t>
          </a:r>
        </a:p>
        <a:p>
          <a:r>
            <a:rPr lang="en-ID" sz="1100" b="0" baseline="0"/>
            <a:t>An. Koperasi Konsumen Marsuki Ragil</a:t>
          </a:r>
        </a:p>
        <a:p>
          <a:r>
            <a:rPr lang="en-ID" sz="1100" b="0" baseline="0"/>
            <a:t>Mandiri</a:t>
          </a:r>
        </a:p>
        <a:p>
          <a:r>
            <a:rPr lang="en-ID" sz="1100" b="0" baseline="0"/>
            <a:t>BSI 7307554806</a:t>
          </a:r>
        </a:p>
        <a:p>
          <a:r>
            <a:rPr lang="en-ID" sz="1100" b="0" baseline="0"/>
            <a:t>An. Koperasi Konsumen Marsuki Ragil</a:t>
          </a:r>
        </a:p>
        <a:p>
          <a:r>
            <a:rPr lang="en-ID" sz="1100" b="0" baseline="0"/>
            <a:t>Mandiri</a:t>
          </a:r>
        </a:p>
        <a:p>
          <a:endParaRPr lang="en-ID" sz="1100" b="1"/>
        </a:p>
      </xdr:txBody>
    </xdr:sp>
    <xdr:clientData/>
  </xdr:oneCellAnchor>
  <xdr:twoCellAnchor editAs="oneCell">
    <xdr:from>
      <xdr:col>5</xdr:col>
      <xdr:colOff>1022837</xdr:colOff>
      <xdr:row>33</xdr:row>
      <xdr:rowOff>37939</xdr:rowOff>
    </xdr:from>
    <xdr:to>
      <xdr:col>6</xdr:col>
      <xdr:colOff>542925</xdr:colOff>
      <xdr:row>38</xdr:row>
      <xdr:rowOff>153865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E06F45-C48B-4095-BE7C-A6A16FD7E3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0350" t="27247" r="26334" b="31482"/>
        <a:stretch/>
      </xdr:blipFill>
      <xdr:spPr>
        <a:xfrm>
          <a:off x="4985237" y="9010489"/>
          <a:ext cx="1063138" cy="1068426"/>
        </a:xfrm>
        <a:prstGeom prst="rect">
          <a:avLst/>
        </a:prstGeom>
      </xdr:spPr>
    </xdr:pic>
    <xdr:clientData/>
  </xdr:twoCellAnchor>
  <xdr:oneCellAnchor>
    <xdr:from>
      <xdr:col>6</xdr:col>
      <xdr:colOff>47626</xdr:colOff>
      <xdr:row>0</xdr:row>
      <xdr:rowOff>76199</xdr:rowOff>
    </xdr:from>
    <xdr:ext cx="1466850" cy="119062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498E47-A135-4353-9305-79137DA7995D}"/>
            </a:ext>
          </a:extLst>
        </xdr:cNvPr>
        <xdr:cNvSpPr txBox="1"/>
      </xdr:nvSpPr>
      <xdr:spPr>
        <a:xfrm>
          <a:off x="5534026" y="76199"/>
          <a:ext cx="1466850" cy="1190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r"/>
          <a:r>
            <a:rPr lang="en-ID" sz="2000" b="1">
              <a:latin typeface="+mn-lt"/>
            </a:rPr>
            <a:t>FAKTUR</a:t>
          </a:r>
        </a:p>
        <a:p>
          <a:pPr algn="r"/>
          <a:r>
            <a:rPr lang="en-ID" sz="1200" b="0" baseline="0">
              <a:latin typeface="+mn-lt"/>
            </a:rPr>
            <a:t>#INV101101</a:t>
          </a:r>
        </a:p>
        <a:p>
          <a:pPr algn="r"/>
          <a:r>
            <a:rPr lang="en-ID" sz="1200" b="0" baseline="0">
              <a:latin typeface="+mn-lt"/>
            </a:rPr>
            <a:t>Tanggal 09/11/2025</a:t>
          </a:r>
        </a:p>
        <a:p>
          <a:pPr algn="r"/>
          <a:endParaRPr lang="en-ID" sz="1400" b="1">
            <a:latin typeface="+mn-lt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2012-C4AF-46FC-9D80-1E9A02691C46}">
  <dimension ref="B5:G41"/>
  <sheetViews>
    <sheetView tabSelected="1" topLeftCell="A26" zoomScaleNormal="107" workbookViewId="0">
      <selection activeCell="G29" sqref="G29"/>
    </sheetView>
  </sheetViews>
  <sheetFormatPr defaultRowHeight="15" x14ac:dyDescent="0.25"/>
  <cols>
    <col min="1" max="1" width="2" customWidth="1"/>
    <col min="2" max="2" width="5.140625" style="14" customWidth="1"/>
    <col min="3" max="3" width="35" customWidth="1"/>
    <col min="4" max="4" width="6.28515625" customWidth="1"/>
    <col min="5" max="5" width="11" customWidth="1"/>
    <col min="6" max="6" width="23.140625" style="1" customWidth="1"/>
    <col min="7" max="7" width="23.85546875" style="1" customWidth="1"/>
  </cols>
  <sheetData>
    <row r="5" spans="2:7" ht="54" customHeight="1" x14ac:dyDescent="0.25"/>
    <row r="6" spans="2:7" ht="18" customHeight="1" x14ac:dyDescent="0.25">
      <c r="B6" s="19" t="s">
        <v>6</v>
      </c>
    </row>
    <row r="7" spans="2:7" ht="18" customHeight="1" x14ac:dyDescent="0.25"/>
    <row r="8" spans="2:7" s="2" customFormat="1" ht="21" customHeight="1" x14ac:dyDescent="0.25">
      <c r="B8" s="12" t="s">
        <v>0</v>
      </c>
      <c r="C8" s="11" t="s">
        <v>1</v>
      </c>
      <c r="D8" s="12" t="s">
        <v>2</v>
      </c>
      <c r="E8" s="12" t="s">
        <v>3</v>
      </c>
      <c r="F8" s="13" t="s">
        <v>4</v>
      </c>
      <c r="G8" s="13" t="s">
        <v>5</v>
      </c>
    </row>
    <row r="9" spans="2:7" s="2" customFormat="1" ht="21" customHeight="1" x14ac:dyDescent="0.25">
      <c r="B9" s="15">
        <v>1</v>
      </c>
      <c r="C9" s="4" t="s">
        <v>10</v>
      </c>
      <c r="D9" s="15" t="s">
        <v>11</v>
      </c>
      <c r="E9" s="4">
        <v>300</v>
      </c>
      <c r="F9" s="5">
        <v>15000</v>
      </c>
      <c r="G9" s="5">
        <f>F9*E9</f>
        <v>4500000</v>
      </c>
    </row>
    <row r="10" spans="2:7" s="2" customFormat="1" ht="21" customHeight="1" x14ac:dyDescent="0.25">
      <c r="B10" s="15">
        <v>2</v>
      </c>
      <c r="C10" s="6" t="s">
        <v>12</v>
      </c>
      <c r="D10" s="16" t="s">
        <v>11</v>
      </c>
      <c r="E10" s="6">
        <v>5</v>
      </c>
      <c r="F10" s="7">
        <v>43000</v>
      </c>
      <c r="G10" s="5">
        <f>F10*E10</f>
        <v>215000</v>
      </c>
    </row>
    <row r="11" spans="2:7" s="2" customFormat="1" ht="21" customHeight="1" x14ac:dyDescent="0.25">
      <c r="B11" s="15">
        <v>3</v>
      </c>
      <c r="C11" s="6" t="s">
        <v>13</v>
      </c>
      <c r="D11" s="16" t="s">
        <v>11</v>
      </c>
      <c r="E11" s="6">
        <v>3</v>
      </c>
      <c r="F11" s="7">
        <v>110000</v>
      </c>
      <c r="G11" s="5">
        <f>F11*E11</f>
        <v>330000</v>
      </c>
    </row>
    <row r="12" spans="2:7" s="2" customFormat="1" ht="21" customHeight="1" x14ac:dyDescent="0.25">
      <c r="B12" s="15">
        <v>4</v>
      </c>
      <c r="C12" s="6" t="s">
        <v>14</v>
      </c>
      <c r="D12" s="16" t="s">
        <v>11</v>
      </c>
      <c r="E12" s="6">
        <v>4</v>
      </c>
      <c r="F12" s="7">
        <v>56000</v>
      </c>
      <c r="G12" s="5">
        <f>F12*E12</f>
        <v>224000</v>
      </c>
    </row>
    <row r="13" spans="2:7" s="2" customFormat="1" ht="21" customHeight="1" x14ac:dyDescent="0.25">
      <c r="B13" s="15">
        <v>5</v>
      </c>
      <c r="C13" s="6" t="s">
        <v>15</v>
      </c>
      <c r="D13" s="16" t="s">
        <v>11</v>
      </c>
      <c r="E13" s="6">
        <v>2</v>
      </c>
      <c r="F13" s="7">
        <v>18500</v>
      </c>
      <c r="G13" s="5">
        <f>F13*E13</f>
        <v>37000</v>
      </c>
    </row>
    <row r="14" spans="2:7" s="2" customFormat="1" ht="21" customHeight="1" x14ac:dyDescent="0.25">
      <c r="B14" s="15">
        <v>6</v>
      </c>
      <c r="C14" s="6" t="s">
        <v>16</v>
      </c>
      <c r="D14" s="16" t="s">
        <v>11</v>
      </c>
      <c r="E14" s="6">
        <v>10</v>
      </c>
      <c r="F14" s="7">
        <v>18000</v>
      </c>
      <c r="G14" s="5">
        <f>F14*E14</f>
        <v>180000</v>
      </c>
    </row>
    <row r="15" spans="2:7" s="2" customFormat="1" ht="21" customHeight="1" x14ac:dyDescent="0.25">
      <c r="B15" s="15">
        <v>7</v>
      </c>
      <c r="C15" s="6" t="s">
        <v>17</v>
      </c>
      <c r="D15" s="16" t="s">
        <v>11</v>
      </c>
      <c r="E15" s="6">
        <v>3</v>
      </c>
      <c r="F15" s="7">
        <v>105000</v>
      </c>
      <c r="G15" s="5">
        <f>F15*E15</f>
        <v>315000</v>
      </c>
    </row>
    <row r="16" spans="2:7" s="2" customFormat="1" ht="21" customHeight="1" x14ac:dyDescent="0.25">
      <c r="B16" s="15">
        <v>8</v>
      </c>
      <c r="C16" s="6" t="s">
        <v>18</v>
      </c>
      <c r="D16" s="16" t="s">
        <v>11</v>
      </c>
      <c r="E16" s="6">
        <v>235</v>
      </c>
      <c r="F16" s="7">
        <v>28000</v>
      </c>
      <c r="G16" s="5">
        <f>F16*E16</f>
        <v>6580000</v>
      </c>
    </row>
    <row r="17" spans="2:7" s="2" customFormat="1" ht="21" customHeight="1" x14ac:dyDescent="0.25">
      <c r="B17" s="15">
        <v>9</v>
      </c>
      <c r="C17" s="6" t="s">
        <v>19</v>
      </c>
      <c r="D17" s="16" t="s">
        <v>20</v>
      </c>
      <c r="E17" s="6">
        <v>303</v>
      </c>
      <c r="F17" s="7">
        <v>2100</v>
      </c>
      <c r="G17" s="5">
        <f>F17*E17</f>
        <v>636300</v>
      </c>
    </row>
    <row r="18" spans="2:7" s="2" customFormat="1" ht="21" customHeight="1" x14ac:dyDescent="0.25">
      <c r="B18" s="15">
        <v>10</v>
      </c>
      <c r="C18" s="6" t="s">
        <v>21</v>
      </c>
      <c r="D18" s="16" t="s">
        <v>20</v>
      </c>
      <c r="E18" s="6">
        <v>3523</v>
      </c>
      <c r="F18" s="7">
        <v>3500</v>
      </c>
      <c r="G18" s="5">
        <f>F18*E18</f>
        <v>12330500</v>
      </c>
    </row>
    <row r="19" spans="2:7" s="2" customFormat="1" ht="21" customHeight="1" x14ac:dyDescent="0.25">
      <c r="B19" s="15">
        <v>11</v>
      </c>
      <c r="C19" s="6" t="s">
        <v>22</v>
      </c>
      <c r="D19" s="16" t="s">
        <v>23</v>
      </c>
      <c r="E19" s="6">
        <v>25</v>
      </c>
      <c r="F19" s="7">
        <v>230000</v>
      </c>
      <c r="G19" s="5">
        <f>F19*E19</f>
        <v>5750000</v>
      </c>
    </row>
    <row r="20" spans="2:7" s="2" customFormat="1" ht="21" customHeight="1" x14ac:dyDescent="0.25">
      <c r="B20" s="15">
        <v>12</v>
      </c>
      <c r="C20" s="6" t="s">
        <v>24</v>
      </c>
      <c r="D20" s="16" t="s">
        <v>25</v>
      </c>
      <c r="E20" s="6">
        <v>18</v>
      </c>
      <c r="F20" s="7">
        <v>20000</v>
      </c>
      <c r="G20" s="5">
        <f>F20*E20</f>
        <v>360000</v>
      </c>
    </row>
    <row r="21" spans="2:7" s="2" customFormat="1" ht="21" customHeight="1" x14ac:dyDescent="0.25">
      <c r="B21" s="15">
        <v>13</v>
      </c>
      <c r="C21" s="6" t="s">
        <v>26</v>
      </c>
      <c r="D21" s="16" t="s">
        <v>27</v>
      </c>
      <c r="E21" s="6">
        <v>15</v>
      </c>
      <c r="F21" s="7">
        <v>6600</v>
      </c>
      <c r="G21" s="5">
        <f>F21*E21</f>
        <v>99000</v>
      </c>
    </row>
    <row r="22" spans="2:7" s="2" customFormat="1" ht="21" customHeight="1" x14ac:dyDescent="0.25">
      <c r="B22" s="15">
        <v>14</v>
      </c>
      <c r="C22" s="6" t="s">
        <v>28</v>
      </c>
      <c r="D22" s="16" t="s">
        <v>11</v>
      </c>
      <c r="E22" s="6">
        <v>15</v>
      </c>
      <c r="F22" s="7">
        <v>30000</v>
      </c>
      <c r="G22" s="5">
        <f>F22*E22</f>
        <v>450000</v>
      </c>
    </row>
    <row r="23" spans="2:7" s="2" customFormat="1" ht="21" customHeight="1" x14ac:dyDescent="0.25">
      <c r="B23" s="15">
        <v>15</v>
      </c>
      <c r="C23" s="6" t="s">
        <v>29</v>
      </c>
      <c r="D23" s="16" t="s">
        <v>11</v>
      </c>
      <c r="E23" s="6">
        <v>5</v>
      </c>
      <c r="F23" s="7">
        <v>60000</v>
      </c>
      <c r="G23" s="5">
        <f>F23*E23</f>
        <v>300000</v>
      </c>
    </row>
    <row r="24" spans="2:7" s="2" customFormat="1" ht="21" customHeight="1" x14ac:dyDescent="0.25">
      <c r="B24" s="15">
        <v>16</v>
      </c>
      <c r="C24" s="6" t="s">
        <v>30</v>
      </c>
      <c r="D24" s="16" t="s">
        <v>11</v>
      </c>
      <c r="E24" s="6">
        <v>20</v>
      </c>
      <c r="F24" s="7">
        <v>10000</v>
      </c>
      <c r="G24" s="5">
        <f>F24*E24</f>
        <v>200000</v>
      </c>
    </row>
    <row r="25" spans="2:7" s="2" customFormat="1" ht="21" customHeight="1" x14ac:dyDescent="0.25">
      <c r="B25" s="15">
        <v>17</v>
      </c>
      <c r="C25" s="6" t="s">
        <v>31</v>
      </c>
      <c r="D25" s="16" t="s">
        <v>11</v>
      </c>
      <c r="E25" s="6">
        <v>30</v>
      </c>
      <c r="F25" s="7">
        <v>31000</v>
      </c>
      <c r="G25" s="5">
        <f>F25*E25</f>
        <v>930000</v>
      </c>
    </row>
    <row r="26" spans="2:7" s="2" customFormat="1" ht="21" customHeight="1" x14ac:dyDescent="0.25">
      <c r="B26" s="15">
        <v>18</v>
      </c>
      <c r="C26" s="6" t="s">
        <v>32</v>
      </c>
      <c r="D26" s="16" t="s">
        <v>11</v>
      </c>
      <c r="E26" s="6">
        <v>40</v>
      </c>
      <c r="F26" s="7">
        <v>18000</v>
      </c>
      <c r="G26" s="5">
        <f>F26*E26</f>
        <v>720000</v>
      </c>
    </row>
    <row r="27" spans="2:7" s="2" customFormat="1" ht="21" customHeight="1" x14ac:dyDescent="0.25">
      <c r="B27" s="15">
        <v>19</v>
      </c>
      <c r="C27" s="6" t="s">
        <v>33</v>
      </c>
      <c r="D27" s="16" t="s">
        <v>11</v>
      </c>
      <c r="E27" s="6">
        <v>60</v>
      </c>
      <c r="F27" s="7">
        <v>8000</v>
      </c>
      <c r="G27" s="5">
        <f>F27*E27</f>
        <v>480000</v>
      </c>
    </row>
    <row r="28" spans="2:7" s="2" customFormat="1" ht="21" customHeight="1" x14ac:dyDescent="0.25">
      <c r="B28" s="15">
        <v>20</v>
      </c>
      <c r="C28" s="6" t="s">
        <v>34</v>
      </c>
      <c r="D28" s="16" t="s">
        <v>35</v>
      </c>
      <c r="E28" s="6">
        <v>3</v>
      </c>
      <c r="F28" s="7">
        <v>30000</v>
      </c>
      <c r="G28" s="7">
        <f>F28*E28</f>
        <v>90000</v>
      </c>
    </row>
    <row r="29" spans="2:7" s="2" customFormat="1" ht="21" customHeight="1" x14ac:dyDescent="0.25">
      <c r="B29" s="17"/>
      <c r="F29" s="3"/>
      <c r="G29" s="3"/>
    </row>
    <row r="30" spans="2:7" s="2" customFormat="1" ht="34.5" customHeight="1" x14ac:dyDescent="0.25">
      <c r="B30" s="17"/>
      <c r="F30" s="8" t="s">
        <v>7</v>
      </c>
      <c r="G30" s="8">
        <f>SUM(G9:G28)</f>
        <v>34726800</v>
      </c>
    </row>
    <row r="31" spans="2:7" s="9" customFormat="1" ht="22.5" customHeight="1" x14ac:dyDescent="0.25">
      <c r="B31" s="18"/>
      <c r="F31" s="20" t="s">
        <v>5</v>
      </c>
      <c r="G31" s="20">
        <f>G30</f>
        <v>34726800</v>
      </c>
    </row>
    <row r="32" spans="2:7" s="9" customFormat="1" ht="22.5" customHeight="1" x14ac:dyDescent="0.25">
      <c r="B32" s="18"/>
      <c r="F32" s="8" t="s">
        <v>8</v>
      </c>
      <c r="G32" s="8">
        <f>G31</f>
        <v>34726800</v>
      </c>
    </row>
    <row r="40" spans="6:7" x14ac:dyDescent="0.25">
      <c r="F40" s="21" t="s">
        <v>9</v>
      </c>
      <c r="G40" s="21"/>
    </row>
    <row r="41" spans="6:7" x14ac:dyDescent="0.25">
      <c r="F41" s="10" t="s">
        <v>36</v>
      </c>
      <c r="G41" s="10"/>
    </row>
  </sheetData>
  <mergeCells count="2">
    <mergeCell ref="F40:G40"/>
    <mergeCell ref="F41:G41"/>
  </mergeCells>
  <pageMargins left="0.7" right="0.7" top="0.75" bottom="0.75" header="0.3" footer="0.3"/>
  <pageSetup paperSize="9" scale="77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cp:lastPrinted>2025-11-10T03:29:17Z</cp:lastPrinted>
  <dcterms:created xsi:type="dcterms:W3CDTF">2025-11-10T01:15:57Z</dcterms:created>
  <dcterms:modified xsi:type="dcterms:W3CDTF">2025-11-10T03:30:23Z</dcterms:modified>
</cp:coreProperties>
</file>